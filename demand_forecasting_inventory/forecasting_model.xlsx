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mand-Forecasting-Inventory-Project\Excel\"/>
    </mc:Choice>
  </mc:AlternateContent>
  <xr:revisionPtr revIDLastSave="0" documentId="13_ncr:1_{E8C90472-87F7-4B75-B48F-8639A200E094}" xr6:coauthVersionLast="47" xr6:coauthVersionMax="47" xr10:uidLastSave="{00000000-0000-0000-0000-000000000000}"/>
  <bookViews>
    <workbookView xWindow="-108" yWindow="-108" windowWidth="23256" windowHeight="12456" activeTab="2" xr2:uid="{844E299C-14DE-44A5-8E3F-7AA10E765159}"/>
  </bookViews>
  <sheets>
    <sheet name="Raw_Data" sheetId="1" r:id="rId1"/>
    <sheet name="Forecast" sheetId="2" r:id="rId2"/>
    <sheet name="Invento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3" l="1"/>
  <c r="B3" i="3"/>
  <c r="D3" i="3" s="1"/>
  <c r="F3" i="3" s="1"/>
  <c r="B2" i="3"/>
  <c r="D2" i="3"/>
  <c r="F2" i="3" s="1"/>
  <c r="D4" i="3"/>
  <c r="F4" i="3" s="1"/>
  <c r="C3" i="3"/>
  <c r="C4" i="3"/>
  <c r="C2" i="3"/>
  <c r="D9" i="2"/>
  <c r="D11" i="2"/>
  <c r="D10" i="2"/>
  <c r="C3" i="2"/>
  <c r="C4" i="2"/>
  <c r="C5" i="2"/>
  <c r="C6" i="2"/>
  <c r="C7" i="2"/>
  <c r="C8" i="2"/>
  <c r="C9" i="2"/>
  <c r="C10" i="2"/>
  <c r="C11" i="2"/>
  <c r="B3" i="2"/>
  <c r="B4" i="2"/>
  <c r="B5" i="2"/>
  <c r="B6" i="2"/>
  <c r="B7" i="2"/>
  <c r="B8" i="2"/>
  <c r="B9" i="2"/>
  <c r="B10" i="2"/>
  <c r="B11" i="2"/>
  <c r="A3" i="2"/>
  <c r="A4" i="2"/>
  <c r="A5" i="2"/>
  <c r="A6" i="2"/>
  <c r="A7" i="2"/>
  <c r="A8" i="2"/>
  <c r="A9" i="2"/>
  <c r="A10" i="2"/>
  <c r="A11" i="2"/>
  <c r="A2" i="2"/>
  <c r="C2" i="2"/>
  <c r="B2" i="2"/>
</calcChain>
</file>

<file path=xl/sharedStrings.xml><?xml version="1.0" encoding="utf-8"?>
<sst xmlns="http://schemas.openxmlformats.org/spreadsheetml/2006/main" count="51" uniqueCount="24">
  <si>
    <t>Date</t>
  </si>
  <si>
    <t>Product_ID</t>
  </si>
  <si>
    <t>Product</t>
  </si>
  <si>
    <t>Region</t>
  </si>
  <si>
    <t>Units_Sold</t>
  </si>
  <si>
    <t>Price</t>
  </si>
  <si>
    <t>Inventory_Level</t>
  </si>
  <si>
    <t>Lead_Time_Days</t>
  </si>
  <si>
    <t>P001</t>
  </si>
  <si>
    <t>Shoes</t>
  </si>
  <si>
    <t>South</t>
  </si>
  <si>
    <t>P002</t>
  </si>
  <si>
    <t>Tshirts</t>
  </si>
  <si>
    <t>West</t>
  </si>
  <si>
    <t>P003</t>
  </si>
  <si>
    <t>Jeans</t>
  </si>
  <si>
    <t>North</t>
  </si>
  <si>
    <t>Forecast</t>
  </si>
  <si>
    <t xml:space="preserve">Product </t>
  </si>
  <si>
    <t xml:space="preserve"> Avg_Demand </t>
  </si>
  <si>
    <t xml:space="preserve"> Lead_Time </t>
  </si>
  <si>
    <t xml:space="preserve"> Reorder_Point </t>
  </si>
  <si>
    <t xml:space="preserve"> Current_Stock </t>
  </si>
  <si>
    <t xml:space="preserve">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</si>
</sst>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AC5584-56CD-4FFC-8B89-4FF26CC6E67D}" name="Table2" displayName="Table2" ref="A1:H11" totalsRowShown="0">
  <autoFilter ref="A1:H11" xr:uid="{B2AC5584-56CD-4FFC-8B89-4FF26CC6E67D}"/>
  <tableColumns count="8">
    <tableColumn id="1" xr3:uid="{9761C8D4-57E4-4AE9-9520-56623E1164E8}" name="Date" dataDxfId="1"/>
    <tableColumn id="2" xr3:uid="{441654DE-77BE-4620-8642-C242AE7736AA}" name="Product_ID"/>
    <tableColumn id="3" xr3:uid="{D2E24E3D-E950-48CF-BF4F-55FC2AC87E7D}" name="Product"/>
    <tableColumn id="4" xr3:uid="{05696602-9EC5-4173-84A9-5DE203718BA3}" name="Region"/>
    <tableColumn id="5" xr3:uid="{DBB6A6B1-F710-47C1-A6C4-464B97AEFB2D}" name="Units_Sold"/>
    <tableColumn id="6" xr3:uid="{F9FB9D54-2CF0-4312-9747-B9865B30003A}" name="Price"/>
    <tableColumn id="7" xr3:uid="{7BF3DCE5-CE0B-4802-9451-448DC3C24497}" name="Inventory_Level"/>
    <tableColumn id="8" xr3:uid="{94C30D9C-F4F4-411F-A34B-442733FC0559}" name="Lead_Time_Day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5E5A6-B69E-4C01-A199-0C7D4493E53C}" name="Table1" displayName="Table1" ref="A1:D11" totalsRowShown="0">
  <autoFilter ref="A1:D11" xr:uid="{A905E5A6-B69E-4C01-A199-0C7D4493E53C}"/>
  <tableColumns count="4">
    <tableColumn id="1" xr3:uid="{63DCD4B8-130F-41D9-BEE6-09540B29F744}" name="Date" dataDxfId="2">
      <calculatedColumnFormula>Raw_Data!A2</calculatedColumnFormula>
    </tableColumn>
    <tableColumn id="2" xr3:uid="{99F7DB62-3CE3-4066-A856-4B665475726E}" name="Product">
      <calculatedColumnFormula>Raw_Data!C2</calculatedColumnFormula>
    </tableColumn>
    <tableColumn id="3" xr3:uid="{69C99412-0FB4-4652-AF0B-868EA9564938}" name="Units_Sold">
      <calculatedColumnFormula>Raw_Data!E2</calculatedColumnFormula>
    </tableColumn>
    <tableColumn id="4" xr3:uid="{CDABE496-4EC7-44C5-B80E-DB151FCA024E}" name="Forecast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8416E2-48D9-4F8A-83F8-0C0EEC308A4B}" name="Table3" displayName="Table3" ref="A1:F4" totalsRowShown="0">
  <autoFilter ref="A1:F4" xr:uid="{EE8416E2-48D9-4F8A-83F8-0C0EEC308A4B}"/>
  <tableColumns count="6">
    <tableColumn id="1" xr3:uid="{00D9FD8D-B1CF-444B-95CF-C925488A32A1}" name="Product "/>
    <tableColumn id="2" xr3:uid="{08191B4A-D81C-4FF8-9C6E-FB1D0B525522}" name=" Avg_Demand " dataDxfId="0">
      <calculatedColumnFormula>AVERAGE(200,210,220)</calculatedColumnFormula>
    </tableColumn>
    <tableColumn id="3" xr3:uid="{D9D5145E-114A-447D-8711-AEE0134BC1FD}" name=" Lead_Time ">
      <calculatedColumnFormula>VLOOKUP(A2, Raw_Data!C:H, 6, FALSE)</calculatedColumnFormula>
    </tableColumn>
    <tableColumn id="4" xr3:uid="{8C67F84B-F93C-4F0B-8F7D-A41F1DC0D135}" name=" Reorder_Point ">
      <calculatedColumnFormula>B2*C2</calculatedColumnFormula>
    </tableColumn>
    <tableColumn id="5" xr3:uid="{17C548AD-45C0-490A-8D5D-A8DA79A4041D}" name=" Current_Stock ">
      <calculatedColumnFormula>VLOOKUP(A2, Raw_Data!C:H, 5, FALSE)</calculatedColumnFormula>
    </tableColumn>
    <tableColumn id="6" xr3:uid="{3735D71E-EA99-41DE-87C8-2DCB9CA35C79}" name=" Status">
      <calculatedColumnFormula>IF(E2&lt;D2,"Reorder","OK")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DF209-2F06-4E30-ABBF-4ED36A52C65B}">
  <dimension ref="A1:H11"/>
  <sheetViews>
    <sheetView workbookViewId="0">
      <selection activeCell="G17" sqref="G17"/>
    </sheetView>
  </sheetViews>
  <sheetFormatPr defaultRowHeight="14.4" x14ac:dyDescent="0.3"/>
  <cols>
    <col min="1" max="1" width="10.33203125" bestFit="1" customWidth="1"/>
    <col min="2" max="2" width="12" customWidth="1"/>
    <col min="3" max="3" width="9.21875" customWidth="1"/>
    <col min="5" max="5" width="11.5546875" customWidth="1"/>
    <col min="7" max="7" width="15.88671875" customWidth="1"/>
    <col min="8" max="8" width="16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45292</v>
      </c>
      <c r="B2" t="s">
        <v>8</v>
      </c>
      <c r="C2" t="s">
        <v>9</v>
      </c>
      <c r="D2" t="s">
        <v>10</v>
      </c>
      <c r="E2">
        <v>120</v>
      </c>
      <c r="F2">
        <v>2000</v>
      </c>
      <c r="G2">
        <v>500</v>
      </c>
      <c r="H2">
        <v>7</v>
      </c>
    </row>
    <row r="3" spans="1:8" x14ac:dyDescent="0.3">
      <c r="A3" s="1">
        <v>45293</v>
      </c>
      <c r="B3" t="s">
        <v>8</v>
      </c>
      <c r="C3" t="s">
        <v>9</v>
      </c>
      <c r="D3" t="s">
        <v>10</v>
      </c>
      <c r="E3">
        <v>140</v>
      </c>
      <c r="F3">
        <v>2000</v>
      </c>
      <c r="G3">
        <v>480</v>
      </c>
      <c r="H3">
        <v>7</v>
      </c>
    </row>
    <row r="4" spans="1:8" x14ac:dyDescent="0.3">
      <c r="A4" s="1">
        <v>45294</v>
      </c>
      <c r="B4" t="s">
        <v>8</v>
      </c>
      <c r="C4" t="s">
        <v>9</v>
      </c>
      <c r="D4" t="s">
        <v>10</v>
      </c>
      <c r="E4">
        <v>130</v>
      </c>
      <c r="F4">
        <v>2000</v>
      </c>
      <c r="G4">
        <v>460</v>
      </c>
      <c r="H4">
        <v>7</v>
      </c>
    </row>
    <row r="5" spans="1:8" x14ac:dyDescent="0.3">
      <c r="A5" s="1">
        <v>45295</v>
      </c>
      <c r="B5" t="s">
        <v>11</v>
      </c>
      <c r="C5" t="s">
        <v>12</v>
      </c>
      <c r="D5" t="s">
        <v>13</v>
      </c>
      <c r="E5">
        <v>200</v>
      </c>
      <c r="F5">
        <v>800</v>
      </c>
      <c r="G5">
        <v>600</v>
      </c>
      <c r="H5">
        <v>5</v>
      </c>
    </row>
    <row r="6" spans="1:8" x14ac:dyDescent="0.3">
      <c r="A6" s="1">
        <v>45296</v>
      </c>
      <c r="B6" t="s">
        <v>11</v>
      </c>
      <c r="C6" t="s">
        <v>12</v>
      </c>
      <c r="D6" t="s">
        <v>13</v>
      </c>
      <c r="E6">
        <v>210</v>
      </c>
      <c r="F6">
        <v>800</v>
      </c>
      <c r="G6">
        <v>580</v>
      </c>
      <c r="H6">
        <v>5</v>
      </c>
    </row>
    <row r="7" spans="1:8" x14ac:dyDescent="0.3">
      <c r="A7" s="1">
        <v>45297</v>
      </c>
      <c r="B7" t="s">
        <v>14</v>
      </c>
      <c r="C7" t="s">
        <v>15</v>
      </c>
      <c r="D7" t="s">
        <v>16</v>
      </c>
      <c r="E7">
        <v>90</v>
      </c>
      <c r="F7">
        <v>1500</v>
      </c>
      <c r="G7">
        <v>300</v>
      </c>
      <c r="H7">
        <v>6</v>
      </c>
    </row>
    <row r="8" spans="1:8" x14ac:dyDescent="0.3">
      <c r="A8" s="1">
        <v>45298</v>
      </c>
      <c r="B8" t="s">
        <v>14</v>
      </c>
      <c r="C8" t="s">
        <v>15</v>
      </c>
      <c r="D8" t="s">
        <v>16</v>
      </c>
      <c r="E8">
        <v>100</v>
      </c>
      <c r="F8">
        <v>1500</v>
      </c>
      <c r="G8">
        <v>280</v>
      </c>
      <c r="H8">
        <v>6</v>
      </c>
    </row>
    <row r="9" spans="1:8" x14ac:dyDescent="0.3">
      <c r="A9" s="1">
        <v>45299</v>
      </c>
      <c r="B9" t="s">
        <v>8</v>
      </c>
      <c r="C9" t="s">
        <v>9</v>
      </c>
      <c r="D9" t="s">
        <v>10</v>
      </c>
      <c r="E9">
        <v>150</v>
      </c>
      <c r="F9">
        <v>2000</v>
      </c>
      <c r="G9">
        <v>450</v>
      </c>
      <c r="H9">
        <v>7</v>
      </c>
    </row>
    <row r="10" spans="1:8" x14ac:dyDescent="0.3">
      <c r="A10" s="1">
        <v>45300</v>
      </c>
      <c r="B10" t="s">
        <v>11</v>
      </c>
      <c r="C10" t="s">
        <v>12</v>
      </c>
      <c r="D10" t="s">
        <v>13</v>
      </c>
      <c r="E10">
        <v>220</v>
      </c>
      <c r="F10">
        <v>800</v>
      </c>
      <c r="G10">
        <v>560</v>
      </c>
      <c r="H10">
        <v>5</v>
      </c>
    </row>
    <row r="11" spans="1:8" x14ac:dyDescent="0.3">
      <c r="A11" s="1">
        <v>45301</v>
      </c>
      <c r="B11" t="s">
        <v>14</v>
      </c>
      <c r="C11" t="s">
        <v>15</v>
      </c>
      <c r="D11" t="s">
        <v>16</v>
      </c>
      <c r="E11">
        <v>110</v>
      </c>
      <c r="F11">
        <v>1500</v>
      </c>
      <c r="G11">
        <v>260</v>
      </c>
      <c r="H11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FD6B-0AC9-4E91-B427-B069D667136F}">
  <dimension ref="A1:D12"/>
  <sheetViews>
    <sheetView workbookViewId="0">
      <selection activeCell="D11" sqref="D11"/>
    </sheetView>
  </sheetViews>
  <sheetFormatPr defaultRowHeight="14.4" x14ac:dyDescent="0.3"/>
  <cols>
    <col min="1" max="1" width="10.33203125" bestFit="1" customWidth="1"/>
    <col min="2" max="2" width="9.21875" customWidth="1"/>
    <col min="3" max="3" width="11.5546875" customWidth="1"/>
    <col min="4" max="4" width="9.88671875" customWidth="1"/>
  </cols>
  <sheetData>
    <row r="1" spans="1:4" x14ac:dyDescent="0.3">
      <c r="A1" t="s">
        <v>0</v>
      </c>
      <c r="B1" t="s">
        <v>2</v>
      </c>
      <c r="C1" t="s">
        <v>4</v>
      </c>
      <c r="D1" t="s">
        <v>17</v>
      </c>
    </row>
    <row r="2" spans="1:4" x14ac:dyDescent="0.3">
      <c r="A2" s="1">
        <f>Raw_Data!A2</f>
        <v>45292</v>
      </c>
      <c r="B2" t="str">
        <f>Raw_Data!C2</f>
        <v>Shoes</v>
      </c>
      <c r="C2">
        <f>Raw_Data!E2</f>
        <v>120</v>
      </c>
    </row>
    <row r="3" spans="1:4" x14ac:dyDescent="0.3">
      <c r="A3" s="1">
        <f>Raw_Data!A3</f>
        <v>45293</v>
      </c>
      <c r="B3" t="str">
        <f>Raw_Data!C3</f>
        <v>Shoes</v>
      </c>
      <c r="C3">
        <f>Raw_Data!E3</f>
        <v>140</v>
      </c>
    </row>
    <row r="4" spans="1:4" x14ac:dyDescent="0.3">
      <c r="A4" s="1">
        <f>Raw_Data!A4</f>
        <v>45294</v>
      </c>
      <c r="B4" t="str">
        <f>Raw_Data!C4</f>
        <v>Shoes</v>
      </c>
      <c r="C4">
        <f>Raw_Data!E4</f>
        <v>130</v>
      </c>
    </row>
    <row r="5" spans="1:4" x14ac:dyDescent="0.3">
      <c r="A5" s="1">
        <f>Raw_Data!A5</f>
        <v>45295</v>
      </c>
      <c r="B5" t="str">
        <f>Raw_Data!C5</f>
        <v>Tshirts</v>
      </c>
      <c r="C5">
        <f>Raw_Data!E5</f>
        <v>200</v>
      </c>
    </row>
    <row r="6" spans="1:4" x14ac:dyDescent="0.3">
      <c r="A6" s="1">
        <f>Raw_Data!A6</f>
        <v>45296</v>
      </c>
      <c r="B6" t="str">
        <f>Raw_Data!C6</f>
        <v>Tshirts</v>
      </c>
      <c r="C6">
        <f>Raw_Data!E6</f>
        <v>210</v>
      </c>
    </row>
    <row r="7" spans="1:4" x14ac:dyDescent="0.3">
      <c r="A7" s="1">
        <f>Raw_Data!A7</f>
        <v>45297</v>
      </c>
      <c r="B7" t="str">
        <f>Raw_Data!C7</f>
        <v>Jeans</v>
      </c>
      <c r="C7">
        <f>Raw_Data!E7</f>
        <v>90</v>
      </c>
    </row>
    <row r="8" spans="1:4" x14ac:dyDescent="0.3">
      <c r="A8" s="1">
        <f>Raw_Data!A8</f>
        <v>45298</v>
      </c>
      <c r="B8" t="str">
        <f>Raw_Data!C8</f>
        <v>Jeans</v>
      </c>
      <c r="C8">
        <f>Raw_Data!E8</f>
        <v>100</v>
      </c>
    </row>
    <row r="9" spans="1:4" x14ac:dyDescent="0.3">
      <c r="A9" s="1">
        <f>Raw_Data!A9</f>
        <v>45299</v>
      </c>
      <c r="B9" t="str">
        <f>Raw_Data!C9</f>
        <v>Shoes</v>
      </c>
      <c r="C9">
        <f>Raw_Data!E9</f>
        <v>150</v>
      </c>
      <c r="D9">
        <f>AVERAGE(C2,C3,C4)</f>
        <v>130</v>
      </c>
    </row>
    <row r="10" spans="1:4" x14ac:dyDescent="0.3">
      <c r="A10" s="1">
        <f>Raw_Data!A10</f>
        <v>45300</v>
      </c>
      <c r="B10" t="str">
        <f>Raw_Data!C10</f>
        <v>Tshirts</v>
      </c>
      <c r="C10">
        <f>Raw_Data!E10</f>
        <v>220</v>
      </c>
      <c r="D10">
        <f>AVERAGE(C5,C6,C10)</f>
        <v>210</v>
      </c>
    </row>
    <row r="11" spans="1:4" x14ac:dyDescent="0.3">
      <c r="A11" s="1">
        <f>Raw_Data!A11</f>
        <v>45301</v>
      </c>
      <c r="B11" t="str">
        <f>Raw_Data!C11</f>
        <v>Jeans</v>
      </c>
      <c r="C11">
        <f>Raw_Data!E11</f>
        <v>110</v>
      </c>
      <c r="D11">
        <f>AVERAGE(C7,C8,C11)</f>
        <v>100</v>
      </c>
    </row>
    <row r="12" spans="1:4" x14ac:dyDescent="0.3">
      <c r="A1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B560-650A-4756-9496-492DA6850C53}">
  <dimension ref="A1:F4"/>
  <sheetViews>
    <sheetView tabSelected="1" workbookViewId="0">
      <selection activeCell="G3" sqref="G3"/>
    </sheetView>
  </sheetViews>
  <sheetFormatPr defaultRowHeight="14.4" x14ac:dyDescent="0.3"/>
  <cols>
    <col min="1" max="1" width="9.6640625" customWidth="1"/>
    <col min="2" max="2" width="14.44140625" customWidth="1"/>
    <col min="3" max="3" width="12.6640625" customWidth="1"/>
    <col min="4" max="4" width="15.5546875" customWidth="1"/>
    <col min="5" max="5" width="15.33203125" customWidth="1"/>
  </cols>
  <sheetData>
    <row r="1" spans="1:6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3">
      <c r="A2" t="s">
        <v>9</v>
      </c>
      <c r="B2">
        <f>AVERAGE(120,140,130)</f>
        <v>130</v>
      </c>
      <c r="C2">
        <f>VLOOKUP(A2, Raw_Data!C:H, 6, FALSE)</f>
        <v>7</v>
      </c>
      <c r="D2">
        <f>B2*C2</f>
        <v>910</v>
      </c>
      <c r="E2">
        <v>450</v>
      </c>
      <c r="F2" t="str">
        <f>IF(E2&lt;D2,"Reorder","OK")</f>
        <v>Reorder</v>
      </c>
    </row>
    <row r="3" spans="1:6" x14ac:dyDescent="0.3">
      <c r="A3" t="s">
        <v>12</v>
      </c>
      <c r="B3">
        <f>AVERAGE(200,210,220)</f>
        <v>210</v>
      </c>
      <c r="C3">
        <f>VLOOKUP(A3, Raw_Data!C:H, 6, FALSE)</f>
        <v>5</v>
      </c>
      <c r="D3">
        <f t="shared" ref="D3:D4" si="0">B3*C3</f>
        <v>1050</v>
      </c>
      <c r="E3">
        <v>560</v>
      </c>
      <c r="F3" t="str">
        <f t="shared" ref="F3:F4" si="1">IF(E3&lt;D3,"Reorder","OK")</f>
        <v>Reorder</v>
      </c>
    </row>
    <row r="4" spans="1:6" x14ac:dyDescent="0.3">
      <c r="A4" t="s">
        <v>15</v>
      </c>
      <c r="B4">
        <f>AVERAGE(90,100,110)</f>
        <v>100</v>
      </c>
      <c r="C4">
        <f>VLOOKUP(A4, Raw_Data!C:H, 6, FALSE)</f>
        <v>6</v>
      </c>
      <c r="D4">
        <f t="shared" si="0"/>
        <v>600</v>
      </c>
      <c r="E4">
        <v>260</v>
      </c>
      <c r="F4" t="str">
        <f t="shared" si="1"/>
        <v>Reorder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Forecast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P</dc:creator>
  <cp:lastModifiedBy>JOSHUA P</cp:lastModifiedBy>
  <dcterms:created xsi:type="dcterms:W3CDTF">2026-05-04T18:08:26Z</dcterms:created>
  <dcterms:modified xsi:type="dcterms:W3CDTF">2026-05-04T18:51:42Z</dcterms:modified>
</cp:coreProperties>
</file>